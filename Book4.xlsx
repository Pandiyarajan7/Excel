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262225\"/>
    </mc:Choice>
  </mc:AlternateContent>
  <bookViews>
    <workbookView minimized="1" xWindow="0" yWindow="0" windowWidth="21000" windowHeight="96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N3" i="1" l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2" i="1"/>
  <c r="L3" i="1" l="1"/>
  <c r="L4" i="1"/>
  <c r="L5" i="1"/>
  <c r="L6" i="1"/>
  <c r="L7" i="1"/>
  <c r="L8" i="1"/>
  <c r="L9" i="1"/>
  <c r="L10" i="1"/>
  <c r="L11" i="1"/>
  <c r="L2" i="1"/>
  <c r="K6" i="1"/>
  <c r="K5" i="1"/>
  <c r="K7" i="1"/>
  <c r="K8" i="1"/>
  <c r="K10" i="1"/>
  <c r="K11" i="1"/>
  <c r="K4" i="1"/>
  <c r="K3" i="1"/>
  <c r="K2" i="1"/>
  <c r="J11" i="1"/>
  <c r="J10" i="1"/>
  <c r="J9" i="1"/>
  <c r="J8" i="1"/>
  <c r="J7" i="1"/>
  <c r="J4" i="1"/>
  <c r="J5" i="1"/>
  <c r="J6" i="1"/>
  <c r="J3" i="1"/>
  <c r="J2" i="1"/>
  <c r="H11" i="1" l="1"/>
  <c r="G11" i="1"/>
  <c r="E11" i="1"/>
  <c r="D11" i="1"/>
  <c r="H10" i="1"/>
  <c r="G10" i="1"/>
  <c r="E10" i="1"/>
  <c r="D10" i="1"/>
  <c r="H9" i="1"/>
  <c r="G9" i="1"/>
  <c r="E9" i="1"/>
  <c r="D9" i="1"/>
  <c r="H8" i="1"/>
  <c r="G8" i="1"/>
  <c r="E8" i="1"/>
  <c r="D8" i="1"/>
  <c r="H7" i="1"/>
  <c r="G7" i="1"/>
  <c r="E7" i="1"/>
  <c r="D7" i="1"/>
  <c r="H6" i="1"/>
  <c r="G6" i="1"/>
  <c r="E6" i="1"/>
  <c r="D6" i="1"/>
  <c r="H5" i="1"/>
  <c r="G5" i="1"/>
  <c r="E5" i="1"/>
  <c r="D5" i="1"/>
  <c r="H4" i="1"/>
  <c r="G4" i="1"/>
  <c r="E4" i="1"/>
  <c r="D4" i="1"/>
  <c r="H3" i="1"/>
  <c r="G3" i="1"/>
  <c r="E3" i="1"/>
  <c r="D3" i="1"/>
  <c r="H2" i="1"/>
  <c r="G2" i="1"/>
  <c r="E2" i="1"/>
  <c r="D2" i="1"/>
  <c r="F4" i="1" l="1"/>
  <c r="F7" i="1"/>
  <c r="F2" i="1"/>
  <c r="F5" i="1"/>
  <c r="F11" i="1"/>
  <c r="F9" i="1"/>
  <c r="F10" i="1"/>
  <c r="F8" i="1"/>
  <c r="F3" i="1"/>
  <c r="F6" i="1"/>
</calcChain>
</file>

<file path=xl/sharedStrings.xml><?xml version="1.0" encoding="utf-8"?>
<sst xmlns="http://schemas.openxmlformats.org/spreadsheetml/2006/main" count="23" uniqueCount="23">
  <si>
    <t>Employee Name</t>
  </si>
  <si>
    <t>DOB</t>
  </si>
  <si>
    <t>DOJ</t>
  </si>
  <si>
    <t>Age</t>
  </si>
  <si>
    <t>Experience</t>
  </si>
  <si>
    <t>Position</t>
  </si>
  <si>
    <t>Day</t>
  </si>
  <si>
    <t>Discription</t>
  </si>
  <si>
    <t>Shukkaku</t>
  </si>
  <si>
    <t>Matattabi</t>
  </si>
  <si>
    <t>Isobu</t>
  </si>
  <si>
    <t>Son Goku</t>
  </si>
  <si>
    <t>Kokkuo</t>
  </si>
  <si>
    <t>Sahiken</t>
  </si>
  <si>
    <t>Chomei</t>
  </si>
  <si>
    <t>Guki</t>
  </si>
  <si>
    <t>Kurama</t>
  </si>
  <si>
    <t>Gedo</t>
  </si>
  <si>
    <t>Months</t>
  </si>
  <si>
    <t>Years</t>
  </si>
  <si>
    <t>Days</t>
  </si>
  <si>
    <t>Months without previous year</t>
  </si>
  <si>
    <t>Days without previous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</si>
</sst>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topLeftCell="B1" zoomScale="115" zoomScaleNormal="115" workbookViewId="0">
      <selection activeCell="K18" sqref="K18"/>
    </sheetView>
  </sheetViews>
  <sheetFormatPr defaultColWidth="9" defaultRowHeight="15"/>
  <cols>
    <col min="1" max="1" width="16.140625" customWidth="1"/>
    <col min="2" max="2" width="12.140625" customWidth="1"/>
    <col min="3" max="3" width="13.140625" customWidth="1"/>
    <col min="5" max="5" width="10.7109375" customWidth="1"/>
    <col min="8" max="8" width="19.7109375" customWidth="1"/>
    <col min="10" max="10" width="6.7109375" bestFit="1" customWidth="1"/>
    <col min="11" max="11" width="8.5703125" bestFit="1" customWidth="1"/>
    <col min="12" max="12" width="5.7109375" bestFit="1" customWidth="1"/>
    <col min="13" max="13" width="28.140625" bestFit="1" customWidth="1"/>
    <col min="14" max="14" width="26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20</v>
      </c>
      <c r="K1" s="1" t="s">
        <v>18</v>
      </c>
      <c r="L1" s="1" t="s">
        <v>19</v>
      </c>
      <c r="M1" s="1" t="s">
        <v>21</v>
      </c>
      <c r="N1" s="1" t="s">
        <v>22</v>
      </c>
    </row>
    <row r="2" spans="1:14">
      <c r="A2" s="2" t="s">
        <v>8</v>
      </c>
      <c r="B2" s="4">
        <v>37054</v>
      </c>
      <c r="C2" s="5">
        <v>45455</v>
      </c>
      <c r="D2" s="6">
        <f ca="1">YEAR(TODAY())-YEAR(B2)</f>
        <v>25</v>
      </c>
      <c r="E2" s="7">
        <f ca="1">YEAR(TODAY())-YEAR(C2)</f>
        <v>2</v>
      </c>
      <c r="F2" s="2" t="str">
        <f ca="1">IF(AND(D2&gt;=20,E2&gt;=6),"senior","junior")</f>
        <v>junior</v>
      </c>
      <c r="G2" s="2" t="str">
        <f>TEXT(B2,"dddd")</f>
        <v>Tuesday</v>
      </c>
      <c r="H2" s="2" t="str">
        <f>IF(G2="Monday","You Are Kind",IF(G2="Tuesday","You Are Arrogant",IF(G2="Wednessday","You Are Bold",IF(G2="Thursday","You Are Lovely",IF(G2="Friday","You Are Nice",IF(G2="Saturday","You Are Cold Hearted","You Are Strong"))))))</f>
        <v>You Are Arrogant</v>
      </c>
      <c r="I2" s="2"/>
      <c r="J2" s="2">
        <f t="shared" ref="J2:J11" ca="1" si="0">DATEDIF(B2,TODAY(),"d")</f>
        <v>9232</v>
      </c>
      <c r="K2" s="2">
        <f t="shared" ref="K2:K11" ca="1" si="1">DATEDIF(B2,TODAY(),"m")</f>
        <v>303</v>
      </c>
      <c r="L2" s="2">
        <f t="shared" ref="L2:L11" ca="1" si="2">DATEDIF(B2,TODAY(),"y")</f>
        <v>25</v>
      </c>
      <c r="M2" s="2">
        <f t="shared" ref="M2:M11" ca="1" si="3">DATEDIF(B2,TODAY(),"ym")</f>
        <v>3</v>
      </c>
      <c r="N2" s="2">
        <f t="shared" ref="N2:N11" ca="1" si="4">DATEDIF(B2,TODAY(),"yd")</f>
        <v>101</v>
      </c>
    </row>
    <row r="3" spans="1:14">
      <c r="A3" s="2" t="s">
        <v>9</v>
      </c>
      <c r="B3" s="4">
        <v>37595</v>
      </c>
      <c r="C3" s="4">
        <v>45265</v>
      </c>
      <c r="D3" s="6">
        <f t="shared" ref="D3:D11" ca="1" si="5">YEAR(TODAY())-YEAR(B3)</f>
        <v>24</v>
      </c>
      <c r="E3" s="7">
        <f t="shared" ref="E3:E11" ca="1" si="6">YEAR(TODAY())-YEAR(C3)</f>
        <v>3</v>
      </c>
      <c r="F3" s="2" t="str">
        <f t="shared" ref="F3:F11" ca="1" si="7">IF(AND(D3&gt;=20,E3&gt;=6),"senior","junior")</f>
        <v>junior</v>
      </c>
      <c r="G3" s="2" t="str">
        <f t="shared" ref="G3:G11" si="8">TEXT(B3,"dddd")</f>
        <v>Thursday</v>
      </c>
      <c r="H3" s="2" t="str">
        <f t="shared" ref="H3:H11" si="9">IF(G3="Monday","You Are Kind",IF(G3="Tuesday","You Are Arrogant",IF(G3="Wednessday","You Are Bold",IF(G3="Thursday","You Are Lovely",IF(G3="Friday","You Are Nice",IF(G3="Saturday","You Are Cold Hearted","You Are Strong"))))))</f>
        <v>You Are Lovely</v>
      </c>
      <c r="I3" s="2"/>
      <c r="J3" s="2">
        <f t="shared" ca="1" si="0"/>
        <v>8691</v>
      </c>
      <c r="K3" s="2">
        <f t="shared" ca="1" si="1"/>
        <v>285</v>
      </c>
      <c r="L3" s="2">
        <f t="shared" ca="1" si="2"/>
        <v>23</v>
      </c>
      <c r="M3" s="2">
        <f t="shared" ca="1" si="3"/>
        <v>9</v>
      </c>
      <c r="N3" s="2">
        <f t="shared" ca="1" si="4"/>
        <v>290</v>
      </c>
    </row>
    <row r="4" spans="1:14">
      <c r="A4" s="2" t="s">
        <v>10</v>
      </c>
      <c r="B4" s="4">
        <v>37015</v>
      </c>
      <c r="C4" s="4">
        <v>44685</v>
      </c>
      <c r="D4" s="6">
        <f t="shared" ca="1" si="5"/>
        <v>25</v>
      </c>
      <c r="E4" s="7">
        <f t="shared" ca="1" si="6"/>
        <v>4</v>
      </c>
      <c r="F4" s="2" t="str">
        <f t="shared" ca="1" si="7"/>
        <v>junior</v>
      </c>
      <c r="G4" s="2" t="str">
        <f t="shared" si="8"/>
        <v>Friday</v>
      </c>
      <c r="H4" s="2" t="str">
        <f t="shared" si="9"/>
        <v>You Are Nice</v>
      </c>
      <c r="I4" s="2"/>
      <c r="J4" s="2">
        <f t="shared" ca="1" si="0"/>
        <v>9271</v>
      </c>
      <c r="K4" s="2">
        <f t="shared" ca="1" si="1"/>
        <v>304</v>
      </c>
      <c r="L4" s="2">
        <f t="shared" ca="1" si="2"/>
        <v>25</v>
      </c>
      <c r="M4" s="2">
        <f t="shared" ca="1" si="3"/>
        <v>4</v>
      </c>
      <c r="N4" s="2">
        <f t="shared" ca="1" si="4"/>
        <v>140</v>
      </c>
    </row>
    <row r="5" spans="1:14">
      <c r="A5" s="2" t="s">
        <v>11</v>
      </c>
      <c r="B5" s="4">
        <v>36562</v>
      </c>
      <c r="C5" s="4">
        <v>44233</v>
      </c>
      <c r="D5" s="6">
        <f t="shared" ca="1" si="5"/>
        <v>26</v>
      </c>
      <c r="E5" s="7">
        <f t="shared" ca="1" si="6"/>
        <v>5</v>
      </c>
      <c r="F5" s="2" t="str">
        <f t="shared" ca="1" si="7"/>
        <v>junior</v>
      </c>
      <c r="G5" s="2" t="str">
        <f t="shared" si="8"/>
        <v>Sunday</v>
      </c>
      <c r="H5" s="2" t="str">
        <f t="shared" si="9"/>
        <v>You Are Strong</v>
      </c>
      <c r="I5" s="2"/>
      <c r="J5" s="2">
        <f t="shared" ca="1" si="0"/>
        <v>9724</v>
      </c>
      <c r="K5" s="2">
        <f t="shared" ca="1" si="1"/>
        <v>319</v>
      </c>
      <c r="L5" s="2">
        <f t="shared" ca="1" si="2"/>
        <v>26</v>
      </c>
      <c r="M5" s="2">
        <f t="shared" ca="1" si="3"/>
        <v>7</v>
      </c>
      <c r="N5" s="2">
        <f t="shared" ca="1" si="4"/>
        <v>228</v>
      </c>
    </row>
    <row r="6" spans="1:14">
      <c r="A6" s="2" t="s">
        <v>12</v>
      </c>
      <c r="B6" s="4">
        <v>37018</v>
      </c>
      <c r="C6" s="4">
        <v>43958</v>
      </c>
      <c r="D6" s="6">
        <f t="shared" ca="1" si="5"/>
        <v>25</v>
      </c>
      <c r="E6" s="7">
        <f t="shared" ca="1" si="6"/>
        <v>6</v>
      </c>
      <c r="F6" s="2" t="str">
        <f t="shared" ca="1" si="7"/>
        <v>senior</v>
      </c>
      <c r="G6" s="2" t="str">
        <f t="shared" si="8"/>
        <v>Monday</v>
      </c>
      <c r="H6" s="2" t="str">
        <f t="shared" si="9"/>
        <v>You Are Kind</v>
      </c>
      <c r="I6" s="2"/>
      <c r="J6" s="2">
        <f t="shared" ca="1" si="0"/>
        <v>9268</v>
      </c>
      <c r="K6" s="2">
        <f t="shared" ca="1" si="1"/>
        <v>304</v>
      </c>
      <c r="L6" s="2">
        <f t="shared" ca="1" si="2"/>
        <v>25</v>
      </c>
      <c r="M6" s="2">
        <f t="shared" ca="1" si="3"/>
        <v>4</v>
      </c>
      <c r="N6" s="2">
        <f t="shared" ca="1" si="4"/>
        <v>137</v>
      </c>
    </row>
    <row r="7" spans="1:14">
      <c r="A7" s="2" t="s">
        <v>13</v>
      </c>
      <c r="B7" s="4">
        <v>40941</v>
      </c>
      <c r="C7" s="4">
        <v>43498</v>
      </c>
      <c r="D7" s="6">
        <f t="shared" ca="1" si="5"/>
        <v>14</v>
      </c>
      <c r="E7" s="7">
        <f t="shared" ca="1" si="6"/>
        <v>7</v>
      </c>
      <c r="F7" s="2" t="str">
        <f t="shared" ca="1" si="7"/>
        <v>junior</v>
      </c>
      <c r="G7" s="2" t="str">
        <f t="shared" si="8"/>
        <v>Thursday</v>
      </c>
      <c r="H7" s="2" t="str">
        <f t="shared" si="9"/>
        <v>You Are Lovely</v>
      </c>
      <c r="I7" s="2"/>
      <c r="J7" s="2">
        <f t="shared" ca="1" si="0"/>
        <v>5345</v>
      </c>
      <c r="K7" s="2">
        <f t="shared" ca="1" si="1"/>
        <v>175</v>
      </c>
      <c r="L7" s="2">
        <f t="shared" ca="1" si="2"/>
        <v>14</v>
      </c>
      <c r="M7" s="2">
        <f t="shared" ca="1" si="3"/>
        <v>7</v>
      </c>
      <c r="N7" s="2">
        <f t="shared" ca="1" si="4"/>
        <v>232</v>
      </c>
    </row>
    <row r="8" spans="1:14">
      <c r="A8" s="2" t="s">
        <v>14</v>
      </c>
      <c r="B8" s="4">
        <v>40462</v>
      </c>
      <c r="C8" s="4">
        <v>43384</v>
      </c>
      <c r="D8" s="6">
        <f t="shared" ca="1" si="5"/>
        <v>16</v>
      </c>
      <c r="E8" s="7">
        <f t="shared" ca="1" si="6"/>
        <v>8</v>
      </c>
      <c r="F8" s="2" t="str">
        <f t="shared" ca="1" si="7"/>
        <v>junior</v>
      </c>
      <c r="G8" s="2" t="str">
        <f t="shared" si="8"/>
        <v>Monday</v>
      </c>
      <c r="H8" s="2" t="str">
        <f t="shared" si="9"/>
        <v>You Are Kind</v>
      </c>
      <c r="I8" s="2"/>
      <c r="J8" s="2">
        <f t="shared" ca="1" si="0"/>
        <v>5824</v>
      </c>
      <c r="K8" s="2">
        <f t="shared" ca="1" si="1"/>
        <v>191</v>
      </c>
      <c r="L8" s="2">
        <f t="shared" ca="1" si="2"/>
        <v>15</v>
      </c>
      <c r="M8" s="2">
        <f t="shared" ca="1" si="3"/>
        <v>11</v>
      </c>
      <c r="N8" s="2">
        <f t="shared" ca="1" si="4"/>
        <v>345</v>
      </c>
    </row>
    <row r="9" spans="1:14">
      <c r="A9" s="2" t="s">
        <v>15</v>
      </c>
      <c r="B9" s="4">
        <v>39998</v>
      </c>
      <c r="C9" s="4">
        <v>42920</v>
      </c>
      <c r="D9" s="6">
        <f t="shared" ca="1" si="5"/>
        <v>17</v>
      </c>
      <c r="E9" s="7">
        <f t="shared" ca="1" si="6"/>
        <v>9</v>
      </c>
      <c r="F9" s="2" t="str">
        <f t="shared" ca="1" si="7"/>
        <v>junior</v>
      </c>
      <c r="G9" s="2" t="str">
        <f t="shared" si="8"/>
        <v>Saturday</v>
      </c>
      <c r="H9" s="2" t="str">
        <f t="shared" si="9"/>
        <v>You Are Cold Hearted</v>
      </c>
      <c r="I9" s="2"/>
      <c r="J9" s="3">
        <f t="shared" ca="1" si="0"/>
        <v>6288</v>
      </c>
      <c r="K9" s="2">
        <f ca="1">DATEDIF(B9,TODAY(),"m")</f>
        <v>206</v>
      </c>
      <c r="L9" s="2">
        <f t="shared" ca="1" si="2"/>
        <v>17</v>
      </c>
      <c r="M9" s="2">
        <f t="shared" ca="1" si="3"/>
        <v>2</v>
      </c>
      <c r="N9" s="2">
        <f t="shared" ca="1" si="4"/>
        <v>79</v>
      </c>
    </row>
    <row r="10" spans="1:14">
      <c r="A10" s="2" t="s">
        <v>16</v>
      </c>
      <c r="B10" s="4">
        <v>32910</v>
      </c>
      <c r="C10" s="4">
        <v>42406</v>
      </c>
      <c r="D10" s="6">
        <f t="shared" ca="1" si="5"/>
        <v>36</v>
      </c>
      <c r="E10" s="7">
        <f t="shared" ca="1" si="6"/>
        <v>10</v>
      </c>
      <c r="F10" s="2" t="str">
        <f t="shared" ca="1" si="7"/>
        <v>senior</v>
      </c>
      <c r="G10" s="2" t="str">
        <f t="shared" si="8"/>
        <v>Tuesday</v>
      </c>
      <c r="H10" s="2" t="str">
        <f t="shared" si="9"/>
        <v>You Are Arrogant</v>
      </c>
      <c r="I10" s="2"/>
      <c r="J10" s="2">
        <f t="shared" ca="1" si="0"/>
        <v>13376</v>
      </c>
      <c r="K10" s="2">
        <f t="shared" ca="1" si="1"/>
        <v>439</v>
      </c>
      <c r="L10" s="2">
        <f t="shared" ca="1" si="2"/>
        <v>36</v>
      </c>
      <c r="M10" s="2">
        <f t="shared" ca="1" si="3"/>
        <v>7</v>
      </c>
      <c r="N10" s="2">
        <f t="shared" ca="1" si="4"/>
        <v>227</v>
      </c>
    </row>
    <row r="11" spans="1:14">
      <c r="A11" s="2" t="s">
        <v>17</v>
      </c>
      <c r="B11" s="4">
        <v>36526</v>
      </c>
      <c r="C11" s="4">
        <v>42005</v>
      </c>
      <c r="D11" s="6">
        <f t="shared" ca="1" si="5"/>
        <v>26</v>
      </c>
      <c r="E11" s="7">
        <f t="shared" ca="1" si="6"/>
        <v>11</v>
      </c>
      <c r="F11" s="2" t="str">
        <f t="shared" ca="1" si="7"/>
        <v>senior</v>
      </c>
      <c r="G11" s="2" t="str">
        <f t="shared" si="8"/>
        <v>Saturday</v>
      </c>
      <c r="H11" s="2" t="str">
        <f t="shared" si="9"/>
        <v>You Are Cold Hearted</v>
      </c>
      <c r="I11" s="2"/>
      <c r="J11" s="2">
        <f t="shared" ca="1" si="0"/>
        <v>9760</v>
      </c>
      <c r="K11" s="2">
        <f t="shared" ca="1" si="1"/>
        <v>320</v>
      </c>
      <c r="L11" s="2">
        <f t="shared" ca="1" si="2"/>
        <v>26</v>
      </c>
      <c r="M11" s="2">
        <f t="shared" ca="1" si="3"/>
        <v>8</v>
      </c>
      <c r="N11" s="2">
        <f t="shared" ca="1" si="4"/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7" sqref="F7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2026-07-20T05:48:00Z</dcterms:created>
  <dcterms:modified xsi:type="dcterms:W3CDTF">2026-09-21T04:10:49Z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CB7CACE68F1D430CB4BB764E5E272124_12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