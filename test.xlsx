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62225\"/>
    </mc:Choice>
  </mc:AlternateContent>
  <bookViews>
    <workbookView xWindow="0" yWindow="0" windowWidth="24000" windowHeight="10185" firstSheet="2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F4" i="2" l="1"/>
  <c r="F10" i="2"/>
  <c r="F3" i="2"/>
  <c r="F11" i="2"/>
  <c r="F5" i="2"/>
  <c r="F9" i="2"/>
  <c r="F8" i="2"/>
  <c r="F7" i="2"/>
  <c r="F6" i="2"/>
  <c r="F2" i="2"/>
</calcChain>
</file>

<file path=xl/sharedStrings.xml><?xml version="1.0" encoding="utf-8"?>
<sst xmlns="http://schemas.openxmlformats.org/spreadsheetml/2006/main" count="49" uniqueCount="48">
  <si>
    <t>Si No</t>
  </si>
  <si>
    <t>Student name</t>
  </si>
  <si>
    <t>Tamil</t>
  </si>
  <si>
    <t>English</t>
  </si>
  <si>
    <t>Maths</t>
  </si>
  <si>
    <t>Science</t>
  </si>
  <si>
    <t>Social</t>
  </si>
  <si>
    <t>Total</t>
  </si>
  <si>
    <t>Percentage</t>
  </si>
  <si>
    <t>a</t>
  </si>
  <si>
    <t>s</t>
  </si>
  <si>
    <t>d</t>
  </si>
  <si>
    <t>f</t>
  </si>
  <si>
    <t>g</t>
  </si>
  <si>
    <t>h</t>
  </si>
  <si>
    <t>j</t>
  </si>
  <si>
    <t>k</t>
  </si>
  <si>
    <t>e</t>
  </si>
  <si>
    <t>r</t>
  </si>
  <si>
    <t>Result</t>
  </si>
  <si>
    <t>Employee Name</t>
  </si>
  <si>
    <t>YOB</t>
  </si>
  <si>
    <t>YOJ</t>
  </si>
  <si>
    <t>Age</t>
  </si>
  <si>
    <t>Expeience</t>
  </si>
  <si>
    <t>Position</t>
  </si>
  <si>
    <t>ssf</t>
  </si>
  <si>
    <t>ed</t>
  </si>
  <si>
    <t>ee</t>
  </si>
  <si>
    <t>fd</t>
  </si>
  <si>
    <t>fe</t>
  </si>
  <si>
    <t>ef4</t>
  </si>
  <si>
    <t>4fef</t>
  </si>
  <si>
    <t>fef</t>
  </si>
  <si>
    <t>efw</t>
  </si>
  <si>
    <t>Student Name</t>
  </si>
  <si>
    <t xml:space="preserve">Sports Score </t>
  </si>
  <si>
    <t>Fittness Score</t>
  </si>
  <si>
    <t>sds</t>
  </si>
  <si>
    <t>fsfg</t>
  </si>
  <si>
    <t>gtgth</t>
  </si>
  <si>
    <t>hyhyf</t>
  </si>
  <si>
    <t>tyhr</t>
  </si>
  <si>
    <t>eg</t>
  </si>
  <si>
    <t>gtt</t>
  </si>
  <si>
    <t>th</t>
  </si>
  <si>
    <t>ht</t>
  </si>
  <si>
    <t>hrth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</si>
</sst>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I2" sqref="I2"/>
    </sheetView>
  </sheetViews>
  <sheetFormatPr defaultRowHeight="15" x14ac:dyDescent="0.25"/>
  <cols>
    <col min="2" max="2" width="13" customWidth="1"/>
    <col min="9" max="9" width="10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96</v>
      </c>
      <c r="D2">
        <v>85</v>
      </c>
      <c r="E2">
        <v>86</v>
      </c>
      <c r="F2">
        <v>86</v>
      </c>
      <c r="G2">
        <v>99</v>
      </c>
      <c r="H2">
        <f>SUM(C2:G2)</f>
        <v>452</v>
      </c>
      <c r="I2">
        <f>SUM(C2:G2)/5</f>
        <v>90.4</v>
      </c>
    </row>
    <row r="3" spans="1:9" x14ac:dyDescent="0.25">
      <c r="A3">
        <v>2</v>
      </c>
      <c r="B3" t="s">
        <v>10</v>
      </c>
      <c r="C3">
        <v>58</v>
      </c>
      <c r="D3">
        <v>76</v>
      </c>
      <c r="E3">
        <v>58</v>
      </c>
      <c r="F3">
        <v>95</v>
      </c>
      <c r="G3">
        <v>95</v>
      </c>
      <c r="H3">
        <f t="shared" ref="H3:H11" si="0">SUM(C3:G3)</f>
        <v>382</v>
      </c>
      <c r="I3">
        <f t="shared" ref="I3:I11" si="1">SUM(C3:G3)/5</f>
        <v>76.400000000000006</v>
      </c>
    </row>
    <row r="4" spans="1:9" x14ac:dyDescent="0.25">
      <c r="A4">
        <v>3</v>
      </c>
      <c r="B4" t="s">
        <v>11</v>
      </c>
      <c r="C4">
        <v>65</v>
      </c>
      <c r="D4">
        <v>98</v>
      </c>
      <c r="E4">
        <v>58</v>
      </c>
      <c r="F4">
        <v>68</v>
      </c>
      <c r="G4">
        <v>94</v>
      </c>
      <c r="H4">
        <f t="shared" si="0"/>
        <v>383</v>
      </c>
      <c r="I4">
        <f t="shared" si="1"/>
        <v>76.599999999999994</v>
      </c>
    </row>
    <row r="5" spans="1:9" x14ac:dyDescent="0.25">
      <c r="A5">
        <v>4</v>
      </c>
      <c r="B5" t="s">
        <v>12</v>
      </c>
      <c r="C5">
        <v>96</v>
      </c>
      <c r="D5">
        <v>86</v>
      </c>
      <c r="E5">
        <v>67</v>
      </c>
      <c r="F5">
        <v>58</v>
      </c>
      <c r="G5">
        <v>93</v>
      </c>
      <c r="H5">
        <f t="shared" si="0"/>
        <v>400</v>
      </c>
      <c r="I5">
        <f t="shared" si="1"/>
        <v>80</v>
      </c>
    </row>
    <row r="6" spans="1:9" x14ac:dyDescent="0.25">
      <c r="A6">
        <v>5</v>
      </c>
      <c r="B6" t="s">
        <v>13</v>
      </c>
      <c r="C6">
        <v>58</v>
      </c>
      <c r="D6">
        <v>54</v>
      </c>
      <c r="E6">
        <v>69</v>
      </c>
      <c r="F6">
        <v>28</v>
      </c>
      <c r="G6">
        <v>85</v>
      </c>
      <c r="H6">
        <f t="shared" si="0"/>
        <v>294</v>
      </c>
      <c r="I6">
        <f t="shared" si="1"/>
        <v>58.8</v>
      </c>
    </row>
    <row r="7" spans="1:9" x14ac:dyDescent="0.25">
      <c r="A7">
        <v>6</v>
      </c>
      <c r="B7" t="s">
        <v>14</v>
      </c>
      <c r="C7">
        <v>68</v>
      </c>
      <c r="D7">
        <v>58</v>
      </c>
      <c r="E7">
        <v>95</v>
      </c>
      <c r="F7">
        <v>64</v>
      </c>
      <c r="G7">
        <v>64</v>
      </c>
      <c r="H7">
        <f t="shared" si="0"/>
        <v>349</v>
      </c>
      <c r="I7">
        <f t="shared" si="1"/>
        <v>69.8</v>
      </c>
    </row>
    <row r="8" spans="1:9" x14ac:dyDescent="0.25">
      <c r="A8">
        <v>7</v>
      </c>
      <c r="B8" t="s">
        <v>16</v>
      </c>
      <c r="C8">
        <v>69</v>
      </c>
      <c r="D8">
        <v>68</v>
      </c>
      <c r="E8">
        <v>95</v>
      </c>
      <c r="F8">
        <v>64</v>
      </c>
      <c r="G8">
        <v>75</v>
      </c>
      <c r="H8">
        <f t="shared" si="0"/>
        <v>371</v>
      </c>
      <c r="I8">
        <f t="shared" si="1"/>
        <v>74.2</v>
      </c>
    </row>
    <row r="9" spans="1:9" x14ac:dyDescent="0.25">
      <c r="A9">
        <v>8</v>
      </c>
      <c r="B9" t="s">
        <v>15</v>
      </c>
      <c r="C9">
        <v>58</v>
      </c>
      <c r="D9">
        <v>96</v>
      </c>
      <c r="E9">
        <v>96</v>
      </c>
      <c r="F9">
        <v>58</v>
      </c>
      <c r="G9">
        <v>86</v>
      </c>
      <c r="H9">
        <f t="shared" si="0"/>
        <v>394</v>
      </c>
      <c r="I9">
        <f t="shared" si="1"/>
        <v>78.8</v>
      </c>
    </row>
    <row r="10" spans="1:9" x14ac:dyDescent="0.25">
      <c r="A10">
        <v>9</v>
      </c>
      <c r="B10" t="s">
        <v>17</v>
      </c>
      <c r="C10">
        <v>95</v>
      </c>
      <c r="D10">
        <v>46</v>
      </c>
      <c r="E10">
        <v>45</v>
      </c>
      <c r="F10">
        <v>76</v>
      </c>
      <c r="G10">
        <v>84</v>
      </c>
      <c r="H10">
        <f t="shared" si="0"/>
        <v>346</v>
      </c>
      <c r="I10">
        <f t="shared" si="1"/>
        <v>69.2</v>
      </c>
    </row>
    <row r="11" spans="1:9" x14ac:dyDescent="0.25">
      <c r="A11">
        <v>10</v>
      </c>
      <c r="B11" t="s">
        <v>18</v>
      </c>
      <c r="C11">
        <v>86</v>
      </c>
      <c r="D11">
        <v>68</v>
      </c>
      <c r="E11">
        <v>33</v>
      </c>
      <c r="F11">
        <v>48</v>
      </c>
      <c r="G11">
        <v>66</v>
      </c>
      <c r="H11">
        <f t="shared" si="0"/>
        <v>301</v>
      </c>
      <c r="I11">
        <f t="shared" si="1"/>
        <v>60.2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2" sqref="F2"/>
    </sheetView>
  </sheetViews>
  <sheetFormatPr defaultRowHeight="15" x14ac:dyDescent="0.25"/>
  <cols>
    <col min="1" max="1" width="15.42578125" customWidth="1"/>
    <col min="5" max="5" width="10.5703125" customWidth="1"/>
    <col min="6" max="6" width="13.42578125" customWidth="1"/>
  </cols>
  <sheetData>
    <row r="1" spans="1:6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5">
      <c r="A2" t="s">
        <v>26</v>
      </c>
      <c r="B2">
        <v>1987</v>
      </c>
      <c r="C2">
        <v>2020</v>
      </c>
      <c r="D2">
        <f ca="1">YEAR(TODAY())-B2</f>
        <v>39</v>
      </c>
      <c r="E2">
        <f ca="1">YEAR(TODAY())-C2</f>
        <v>6</v>
      </c>
      <c r="F2" t="str">
        <f ca="1">IF(AND(D2&gt;=40,E2&gt;=10),"MANAGER",IF(AND(D2&gt;=20,E2&gt;=10),"HR",IF(AND(D2&gt;=40,E2&gt;=3),"TEAM LEADER",IF(AND(D2&gt;=20,E2&gt;=2),"LEADER","JUNIOR"))))</f>
        <v>LEADER</v>
      </c>
    </row>
    <row r="3" spans="1:6" x14ac:dyDescent="0.25">
      <c r="A3" t="s">
        <v>29</v>
      </c>
      <c r="B3">
        <v>1985</v>
      </c>
      <c r="C3">
        <v>2012</v>
      </c>
      <c r="D3">
        <f t="shared" ref="D3:D11" ca="1" si="0">YEAR(TODAY())-B3</f>
        <v>41</v>
      </c>
      <c r="E3">
        <f t="shared" ref="E3:E11" ca="1" si="1">YEAR(TODAY())-C3</f>
        <v>14</v>
      </c>
      <c r="F3" t="str">
        <f t="shared" ref="F3:F11" ca="1" si="2">IF(AND(D3&gt;=40,E3&gt;=10),"MANAGER",IF(AND(D3&gt;=20,E3&gt;=10),"HR",IF(AND(D3&gt;=40,E3&gt;=3),"TEAM LEADER",IF(AND(D3&gt;=20,E3&gt;=2),"LEADER","JUNIOR"))))</f>
        <v>MANAGER</v>
      </c>
    </row>
    <row r="4" spans="1:6" x14ac:dyDescent="0.25">
      <c r="A4" t="s">
        <v>30</v>
      </c>
      <c r="B4">
        <v>1986</v>
      </c>
      <c r="C4">
        <v>2019</v>
      </c>
      <c r="D4">
        <f t="shared" ca="1" si="0"/>
        <v>40</v>
      </c>
      <c r="E4">
        <f t="shared" ca="1" si="1"/>
        <v>7</v>
      </c>
      <c r="F4" t="str">
        <f t="shared" ca="1" si="2"/>
        <v>TEAM LEADER</v>
      </c>
    </row>
    <row r="5" spans="1:6" x14ac:dyDescent="0.25">
      <c r="A5" t="s">
        <v>11</v>
      </c>
      <c r="B5">
        <v>1989</v>
      </c>
      <c r="C5">
        <v>2018</v>
      </c>
      <c r="D5">
        <f t="shared" ca="1" si="0"/>
        <v>37</v>
      </c>
      <c r="E5">
        <f t="shared" ca="1" si="1"/>
        <v>8</v>
      </c>
      <c r="F5" t="str">
        <f t="shared" ca="1" si="2"/>
        <v>LEADER</v>
      </c>
    </row>
    <row r="6" spans="1:6" x14ac:dyDescent="0.25">
      <c r="A6" t="s">
        <v>27</v>
      </c>
      <c r="B6">
        <v>1980</v>
      </c>
      <c r="C6">
        <v>2021</v>
      </c>
      <c r="D6">
        <f t="shared" ca="1" si="0"/>
        <v>46</v>
      </c>
      <c r="E6">
        <f t="shared" ca="1" si="1"/>
        <v>5</v>
      </c>
      <c r="F6" t="str">
        <f t="shared" ca="1" si="2"/>
        <v>TEAM LEADER</v>
      </c>
    </row>
    <row r="7" spans="1:6" x14ac:dyDescent="0.25">
      <c r="A7" t="s">
        <v>28</v>
      </c>
      <c r="B7">
        <v>1985</v>
      </c>
      <c r="C7">
        <v>2022</v>
      </c>
      <c r="D7">
        <f t="shared" ca="1" si="0"/>
        <v>41</v>
      </c>
      <c r="E7">
        <f t="shared" ca="1" si="1"/>
        <v>4</v>
      </c>
      <c r="F7" t="str">
        <f t="shared" ca="1" si="2"/>
        <v>TEAM LEADER</v>
      </c>
    </row>
    <row r="8" spans="1:6" x14ac:dyDescent="0.25">
      <c r="A8" t="s">
        <v>32</v>
      </c>
      <c r="B8">
        <v>1983</v>
      </c>
      <c r="C8">
        <v>2011</v>
      </c>
      <c r="D8">
        <f t="shared" ca="1" si="0"/>
        <v>43</v>
      </c>
      <c r="E8">
        <f t="shared" ca="1" si="1"/>
        <v>15</v>
      </c>
      <c r="F8" t="str">
        <f t="shared" ca="1" si="2"/>
        <v>MANAGER</v>
      </c>
    </row>
    <row r="9" spans="1:6" x14ac:dyDescent="0.25">
      <c r="A9" t="s">
        <v>31</v>
      </c>
      <c r="B9">
        <v>1981</v>
      </c>
      <c r="C9">
        <v>2015</v>
      </c>
      <c r="D9">
        <f t="shared" ca="1" si="0"/>
        <v>45</v>
      </c>
      <c r="E9">
        <f t="shared" ca="1" si="1"/>
        <v>11</v>
      </c>
      <c r="F9" t="str">
        <f t="shared" ca="1" si="2"/>
        <v>MANAGER</v>
      </c>
    </row>
    <row r="10" spans="1:6" x14ac:dyDescent="0.25">
      <c r="A10" t="s">
        <v>33</v>
      </c>
      <c r="B10">
        <v>1982</v>
      </c>
      <c r="C10">
        <v>2016</v>
      </c>
      <c r="D10">
        <f t="shared" ca="1" si="0"/>
        <v>44</v>
      </c>
      <c r="E10">
        <f t="shared" ca="1" si="1"/>
        <v>10</v>
      </c>
      <c r="F10" t="str">
        <f t="shared" ca="1" si="2"/>
        <v>MANAGER</v>
      </c>
    </row>
    <row r="11" spans="1:6" x14ac:dyDescent="0.25">
      <c r="A11" t="s">
        <v>34</v>
      </c>
      <c r="B11">
        <v>1900</v>
      </c>
      <c r="C11">
        <v>2023</v>
      </c>
      <c r="D11">
        <f t="shared" ca="1" si="0"/>
        <v>126</v>
      </c>
      <c r="E11">
        <f t="shared" ca="1" si="1"/>
        <v>3</v>
      </c>
      <c r="F11" t="str">
        <f t="shared" ca="1" si="2"/>
        <v>TEAM LEADER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2" sqref="D2"/>
    </sheetView>
  </sheetViews>
  <sheetFormatPr defaultRowHeight="15" x14ac:dyDescent="0.25"/>
  <cols>
    <col min="1" max="1" width="13.85546875" bestFit="1" customWidth="1"/>
    <col min="2" max="2" width="12.28515625" bestFit="1" customWidth="1"/>
    <col min="3" max="3" width="13.42578125" bestFit="1" customWidth="1"/>
    <col min="4" max="4" width="11" bestFit="1" customWidth="1"/>
  </cols>
  <sheetData>
    <row r="1" spans="1:4" x14ac:dyDescent="0.25">
      <c r="A1" s="1" t="s">
        <v>35</v>
      </c>
      <c r="B1" s="1" t="s">
        <v>36</v>
      </c>
      <c r="C1" s="1" t="s">
        <v>37</v>
      </c>
      <c r="D1" s="1" t="s">
        <v>19</v>
      </c>
    </row>
    <row r="2" spans="1:4" x14ac:dyDescent="0.25">
      <c r="A2" s="2" t="s">
        <v>38</v>
      </c>
      <c r="B2">
        <v>90</v>
      </c>
      <c r="C2">
        <v>50</v>
      </c>
      <c r="D2" t="str">
        <f>IF(OR(B2&gt;=90,C2&gt;=90),"Eligible","not Eligible")</f>
        <v>Eligible</v>
      </c>
    </row>
    <row r="3" spans="1:4" x14ac:dyDescent="0.25">
      <c r="A3" t="s">
        <v>39</v>
      </c>
      <c r="B3">
        <v>68</v>
      </c>
      <c r="C3">
        <v>60</v>
      </c>
      <c r="D3" t="str">
        <f t="shared" ref="D3:D11" si="0">IF(OR(B3&gt;=90,C3&gt;=90),"Eligible","not Eligible")</f>
        <v>not Eligible</v>
      </c>
    </row>
    <row r="4" spans="1:4" x14ac:dyDescent="0.25">
      <c r="A4" t="s">
        <v>40</v>
      </c>
      <c r="B4">
        <v>50</v>
      </c>
      <c r="C4">
        <v>90</v>
      </c>
      <c r="D4" t="str">
        <f t="shared" si="0"/>
        <v>Eligible</v>
      </c>
    </row>
    <row r="5" spans="1:4" x14ac:dyDescent="0.25">
      <c r="A5" t="s">
        <v>41</v>
      </c>
      <c r="B5">
        <v>40</v>
      </c>
      <c r="C5">
        <v>54</v>
      </c>
      <c r="D5" t="str">
        <f t="shared" si="0"/>
        <v>not Eligible</v>
      </c>
    </row>
    <row r="6" spans="1:4" x14ac:dyDescent="0.25">
      <c r="A6" t="s">
        <v>42</v>
      </c>
      <c r="B6">
        <v>68</v>
      </c>
      <c r="C6">
        <v>90</v>
      </c>
      <c r="D6" t="str">
        <f t="shared" si="0"/>
        <v>Eligible</v>
      </c>
    </row>
    <row r="7" spans="1:4" x14ac:dyDescent="0.25">
      <c r="A7" t="s">
        <v>43</v>
      </c>
      <c r="B7">
        <v>90</v>
      </c>
      <c r="C7">
        <v>50</v>
      </c>
      <c r="D7" t="str">
        <f t="shared" si="0"/>
        <v>Eligible</v>
      </c>
    </row>
    <row r="8" spans="1:4" x14ac:dyDescent="0.25">
      <c r="A8" t="s">
        <v>44</v>
      </c>
      <c r="B8">
        <v>80</v>
      </c>
      <c r="C8">
        <v>60</v>
      </c>
      <c r="D8" t="str">
        <f t="shared" si="0"/>
        <v>not Eligible</v>
      </c>
    </row>
    <row r="9" spans="1:4" x14ac:dyDescent="0.25">
      <c r="A9" t="s">
        <v>46</v>
      </c>
      <c r="B9">
        <v>90</v>
      </c>
      <c r="C9">
        <v>90</v>
      </c>
      <c r="D9" t="str">
        <f t="shared" si="0"/>
        <v>Eligible</v>
      </c>
    </row>
    <row r="10" spans="1:4" x14ac:dyDescent="0.25">
      <c r="A10" t="s">
        <v>45</v>
      </c>
      <c r="B10">
        <v>70</v>
      </c>
      <c r="C10">
        <v>80</v>
      </c>
      <c r="D10" t="str">
        <f t="shared" si="0"/>
        <v>not Eligible</v>
      </c>
    </row>
    <row r="11" spans="1:4" x14ac:dyDescent="0.25">
      <c r="A11" t="s">
        <v>47</v>
      </c>
      <c r="B11">
        <v>90</v>
      </c>
      <c r="C11">
        <v>90</v>
      </c>
      <c r="D11" t="str">
        <f t="shared" si="0"/>
        <v>Eligible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2026-07-24T06:33:00Z</dcterms:created>
  <dcterms:modified xsi:type="dcterms:W3CDTF">2026-08-01T04:10:51Z</dcterms:modified>
</cp:coreProperties>
</file>